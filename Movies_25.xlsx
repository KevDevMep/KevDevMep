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<sst xmlns="http://schemas.openxmlformats.org/spreadsheetml/2006/main" count="191" uniqueCount="72">
  <si>
    <t xml:space="preserve">Movie</t>
  </si>
  <si>
    <t xml:space="preserve">Date</t>
  </si>
  <si>
    <t xml:space="preserve">Rating</t>
  </si>
  <si>
    <t xml:space="preserve">Format</t>
  </si>
  <si>
    <t xml:space="preserve">Tier List</t>
  </si>
  <si>
    <t xml:space="preserve">Sinners</t>
  </si>
  <si>
    <t xml:space="preserve">70mm</t>
  </si>
  <si>
    <t xml:space="preserve">70mm IMAX</t>
  </si>
  <si>
    <t xml:space="preserve">One Battle After Another</t>
  </si>
  <si>
    <t xml:space="preserve">ThunderBolts*</t>
  </si>
  <si>
    <t xml:space="preserve">IMAX</t>
  </si>
  <si>
    <t xml:space="preserve">Marty Supreme</t>
  </si>
  <si>
    <t xml:space="preserve">Warfare</t>
  </si>
  <si>
    <t xml:space="preserve">Laser</t>
  </si>
  <si>
    <t xml:space="preserve">Hamnet</t>
  </si>
  <si>
    <t xml:space="preserve">Final Reckoning</t>
  </si>
  <si>
    <t xml:space="preserve">No Other Choice</t>
  </si>
  <si>
    <t xml:space="preserve">Ballerina</t>
  </si>
  <si>
    <t xml:space="preserve">Dolby</t>
  </si>
  <si>
    <r>
      <rPr>
        <sz val="10"/>
        <rFont val="Arial"/>
        <family val="2"/>
        <charset val="1"/>
      </rPr>
      <t xml:space="preserve">Back To The Future 40</t>
    </r>
    <r>
      <rPr>
        <vertAlign val="superscript"/>
        <sz val="10"/>
        <rFont val="Arial"/>
        <family val="2"/>
        <charset val="1"/>
      </rPr>
      <t xml:space="preserve">th</t>
    </r>
  </si>
  <si>
    <t xml:space="preserve">HTTYD</t>
  </si>
  <si>
    <t xml:space="preserve">Materialists</t>
  </si>
  <si>
    <t xml:space="preserve">Sentimental Value</t>
  </si>
  <si>
    <t xml:space="preserve">28 Year Later</t>
  </si>
  <si>
    <t xml:space="preserve">The Secret Agent</t>
  </si>
  <si>
    <t xml:space="preserve">F1</t>
  </si>
  <si>
    <t xml:space="preserve">Kill Bill: The Whole Bloody Affair</t>
  </si>
  <si>
    <t xml:space="preserve">Sorry Baby</t>
  </si>
  <si>
    <t xml:space="preserve">Weapons</t>
  </si>
  <si>
    <t xml:space="preserve">3D</t>
  </si>
  <si>
    <t xml:space="preserve">40 Acres</t>
  </si>
  <si>
    <t xml:space="preserve">Superman</t>
  </si>
  <si>
    <t xml:space="preserve">Chainsaw Man</t>
  </si>
  <si>
    <t xml:space="preserve">Eddington</t>
  </si>
  <si>
    <t xml:space="preserve">Demon Slayer</t>
  </si>
  <si>
    <t xml:space="preserve">5, 6, 4, 10, 6, 12, 10, 8</t>
  </si>
  <si>
    <t xml:space="preserve">F4</t>
  </si>
  <si>
    <t xml:space="preserve">Ne Zha 2</t>
  </si>
  <si>
    <t xml:space="preserve">The Naked Gun</t>
  </si>
  <si>
    <t xml:space="preserve">Predator: Badlands</t>
  </si>
  <si>
    <t xml:space="preserve">The Bad Guys 2</t>
  </si>
  <si>
    <t xml:space="preserve">Zootopia 2</t>
  </si>
  <si>
    <t xml:space="preserve">The Knife</t>
  </si>
  <si>
    <t xml:space="preserve">Nobody 2</t>
  </si>
  <si>
    <r>
      <rPr>
        <sz val="10"/>
        <rFont val="Arial"/>
        <family val="2"/>
        <charset val="1"/>
      </rPr>
      <t xml:space="preserve">Black Swan 15</t>
    </r>
    <r>
      <rPr>
        <vertAlign val="superscript"/>
        <sz val="10"/>
        <rFont val="Arial"/>
        <family val="2"/>
        <charset val="1"/>
      </rPr>
      <t xml:space="preserve">th</t>
    </r>
  </si>
  <si>
    <t xml:space="preserve">Avatar: Fire and Ash</t>
  </si>
  <si>
    <t xml:space="preserve">Splitsville</t>
  </si>
  <si>
    <t xml:space="preserve">Avatar: The Way of Water</t>
  </si>
  <si>
    <t xml:space="preserve">IMAX 3D</t>
  </si>
  <si>
    <t xml:space="preserve">The Long Walk</t>
  </si>
  <si>
    <t xml:space="preserve">Caught Stealing</t>
  </si>
  <si>
    <r>
      <rPr>
        <sz val="10"/>
        <rFont val="Arial"/>
        <family val="2"/>
        <charset val="1"/>
      </rPr>
      <t xml:space="preserve">Jaws 50</t>
    </r>
    <r>
      <rPr>
        <vertAlign val="superscript"/>
        <sz val="10"/>
        <rFont val="Arial"/>
        <family val="2"/>
        <charset val="1"/>
      </rPr>
      <t xml:space="preserve">th</t>
    </r>
  </si>
  <si>
    <t xml:space="preserve">If I Had Legs I'd Kick You</t>
  </si>
  <si>
    <t xml:space="preserve">The Toxic Avenger</t>
  </si>
  <si>
    <t xml:space="preserve">The Testament of Ann Lee</t>
  </si>
  <si>
    <t xml:space="preserve">Blue Moon</t>
  </si>
  <si>
    <r>
      <rPr>
        <sz val="10"/>
        <rFont val="Arial"/>
        <family val="2"/>
        <charset val="1"/>
      </rPr>
      <t xml:space="preserve">Apollo 13 30</t>
    </r>
    <r>
      <rPr>
        <vertAlign val="superscript"/>
        <sz val="10"/>
        <rFont val="Arial"/>
        <family val="2"/>
        <charset val="1"/>
      </rPr>
      <t xml:space="preserve">th</t>
    </r>
  </si>
  <si>
    <t xml:space="preserve">Twinless</t>
  </si>
  <si>
    <t xml:space="preserve">Rental Family</t>
  </si>
  <si>
    <t xml:space="preserve">Good Boy</t>
  </si>
  <si>
    <t xml:space="preserve">Dolby 3D</t>
  </si>
  <si>
    <t xml:space="preserve">Eternity</t>
  </si>
  <si>
    <t xml:space="preserve">The Smashing Machine</t>
  </si>
  <si>
    <t xml:space="preserve">Roofman</t>
  </si>
  <si>
    <t xml:space="preserve">Perfect Blue</t>
  </si>
  <si>
    <t xml:space="preserve">Good Forture</t>
  </si>
  <si>
    <t xml:space="preserve">Die My Love</t>
  </si>
  <si>
    <t xml:space="preserve">Bugonia</t>
  </si>
  <si>
    <t xml:space="preserve">Urchin</t>
  </si>
  <si>
    <t xml:space="preserve">The Running Man</t>
  </si>
  <si>
    <t xml:space="preserve">Wicked For Good</t>
  </si>
  <si>
    <t xml:space="preserve">Sisu: Road to Revenge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</si>
</sst>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ating" displayName="Rating" ref="C3:C41" headerRowCount="1" totalsRowCount="0" totalsRowShown="0">
  <tableColumns count="1">
    <tableColumn id="1" name="Column1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7.7"/>
    <col collapsed="false" customWidth="true" hidden="false" outlineLevel="0" max="2" min="2" style="1" width="8.41"/>
    <col collapsed="false" customWidth="true" hidden="false" outlineLevel="0" max="3" min="3" style="1" width="6.67"/>
    <col collapsed="false" customWidth="true" hidden="false" outlineLevel="0" max="4" min="4" style="1" width="11.44"/>
    <col collapsed="false" customWidth="true" hidden="false" outlineLevel="0" max="6" min="6" style="1" width="27.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F1" s="2" t="s">
        <v>4</v>
      </c>
    </row>
    <row r="2" customFormat="false" ht="12.8" hidden="false" customHeight="false" outlineLevel="0" collapsed="false">
      <c r="A2" s="1" t="s">
        <v>5</v>
      </c>
      <c r="D2" s="1" t="s">
        <v>6</v>
      </c>
      <c r="F2" s="1" t="s">
        <v>5</v>
      </c>
      <c r="H2" s="1" t="n">
        <v>5</v>
      </c>
      <c r="I2" s="1" t="n">
        <f aca="false">COUNTIF(C2:C61, 5)</f>
        <v>3</v>
      </c>
    </row>
    <row r="3" customFormat="false" ht="12.8" hidden="false" customHeight="false" outlineLevel="0" collapsed="false">
      <c r="A3" s="1" t="s">
        <v>5</v>
      </c>
      <c r="C3" s="1" t="n">
        <v>10</v>
      </c>
      <c r="D3" s="1" t="s">
        <v>7</v>
      </c>
      <c r="F3" s="1" t="s">
        <v>8</v>
      </c>
      <c r="H3" s="1" t="n">
        <v>6</v>
      </c>
      <c r="I3" s="1" t="n">
        <f aca="false">COUNTIF(C2:C61, 6)</f>
        <v>6</v>
      </c>
    </row>
    <row r="4" customFormat="false" ht="12.8" hidden="false" customHeight="false" outlineLevel="0" collapsed="false">
      <c r="A4" s="1" t="s">
        <v>9</v>
      </c>
      <c r="C4" s="1" t="n">
        <v>7</v>
      </c>
      <c r="D4" s="1" t="s">
        <v>10</v>
      </c>
      <c r="F4" s="1" t="s">
        <v>11</v>
      </c>
      <c r="H4" s="1" t="n">
        <v>7</v>
      </c>
      <c r="I4" s="1" t="n">
        <f aca="false">COUNTIF(C2:C61, 7)</f>
        <v>16</v>
      </c>
    </row>
    <row r="5" customFormat="false" ht="12.8" hidden="false" customHeight="false" outlineLevel="0" collapsed="false">
      <c r="A5" s="1" t="s">
        <v>12</v>
      </c>
      <c r="C5" s="1" t="n">
        <v>9</v>
      </c>
      <c r="D5" s="1" t="s">
        <v>13</v>
      </c>
      <c r="F5" s="1" t="s">
        <v>14</v>
      </c>
      <c r="H5" s="1" t="n">
        <v>8</v>
      </c>
      <c r="I5" s="1" t="n">
        <f aca="false">COUNTIF(C2:C61, 8)</f>
        <v>15</v>
      </c>
    </row>
    <row r="6" customFormat="false" ht="12.8" hidden="false" customHeight="false" outlineLevel="0" collapsed="false">
      <c r="A6" s="1" t="s">
        <v>15</v>
      </c>
      <c r="C6" s="1" t="n">
        <v>7</v>
      </c>
      <c r="D6" s="1" t="s">
        <v>10</v>
      </c>
      <c r="F6" s="1" t="s">
        <v>16</v>
      </c>
      <c r="H6" s="1" t="n">
        <v>9</v>
      </c>
      <c r="I6" s="1" t="n">
        <f aca="false">COUNTIF(C2:C61, 9)</f>
        <v>11</v>
      </c>
    </row>
    <row r="7" customFormat="false" ht="12.8" hidden="false" customHeight="false" outlineLevel="0" collapsed="false">
      <c r="A7" s="1" t="s">
        <v>17</v>
      </c>
      <c r="B7" s="3" t="n">
        <v>45814</v>
      </c>
      <c r="C7" s="1" t="n">
        <v>8</v>
      </c>
      <c r="D7" s="1" t="s">
        <v>18</v>
      </c>
      <c r="F7" s="1" t="s">
        <v>19</v>
      </c>
      <c r="H7" s="1" t="n">
        <v>10</v>
      </c>
      <c r="I7" s="1" t="n">
        <f aca="false">COUNTIF(C3:C61, 10)</f>
        <v>6</v>
      </c>
    </row>
    <row r="8" customFormat="false" ht="12.8" hidden="false" customHeight="false" outlineLevel="0" collapsed="false">
      <c r="A8" s="1" t="s">
        <v>20</v>
      </c>
      <c r="B8" s="3" t="n">
        <v>45821</v>
      </c>
      <c r="C8" s="1" t="n">
        <v>7</v>
      </c>
      <c r="D8" s="1" t="s">
        <v>10</v>
      </c>
    </row>
    <row r="9" customFormat="false" ht="12.8" hidden="false" customHeight="false" outlineLevel="0" collapsed="false">
      <c r="A9" s="1" t="s">
        <v>21</v>
      </c>
      <c r="B9" s="3" t="n">
        <v>45823</v>
      </c>
      <c r="C9" s="1" t="n">
        <v>8</v>
      </c>
      <c r="D9" s="1" t="s">
        <v>13</v>
      </c>
      <c r="F9" s="1" t="s">
        <v>22</v>
      </c>
      <c r="H9" s="1" t="s">
        <v>13</v>
      </c>
      <c r="I9" s="1" t="n">
        <f aca="false">COUNTIF(D$2:D$61,"Laser")</f>
        <v>27</v>
      </c>
    </row>
    <row r="10" customFormat="false" ht="12.8" hidden="false" customHeight="false" outlineLevel="0" collapsed="false">
      <c r="A10" s="1" t="s">
        <v>23</v>
      </c>
      <c r="B10" s="3" t="n">
        <v>45828</v>
      </c>
      <c r="C10" s="1" t="n">
        <v>7</v>
      </c>
      <c r="D10" s="1" t="s">
        <v>10</v>
      </c>
      <c r="F10" s="1" t="s">
        <v>24</v>
      </c>
      <c r="H10" s="1" t="s">
        <v>10</v>
      </c>
      <c r="I10" s="1" t="n">
        <f aca="false">COUNTIF(D$2:D$60,"IMAX") + COUNTIF(D$2:D$60,"70mm IMAX")</f>
        <v>21</v>
      </c>
    </row>
    <row r="11" customFormat="false" ht="12.8" hidden="false" customHeight="false" outlineLevel="0" collapsed="false">
      <c r="A11" s="1" t="s">
        <v>25</v>
      </c>
      <c r="B11" s="3" t="n">
        <v>45835</v>
      </c>
      <c r="C11" s="1" t="n">
        <v>9</v>
      </c>
      <c r="D11" s="1" t="s">
        <v>10</v>
      </c>
      <c r="F11" s="1" t="s">
        <v>26</v>
      </c>
      <c r="H11" s="1" t="s">
        <v>18</v>
      </c>
      <c r="I11" s="1" t="n">
        <f aca="false">COUNTIF(D$2:D$60,"Dolby")</f>
        <v>5</v>
      </c>
    </row>
    <row r="12" customFormat="false" ht="12.8" hidden="false" customHeight="false" outlineLevel="0" collapsed="false">
      <c r="A12" s="1" t="s">
        <v>27</v>
      </c>
      <c r="B12" s="3" t="n">
        <v>45836</v>
      </c>
      <c r="C12" s="1" t="n">
        <v>7</v>
      </c>
      <c r="D12" s="1" t="s">
        <v>13</v>
      </c>
      <c r="F12" s="1" t="s">
        <v>28</v>
      </c>
      <c r="H12" s="1" t="s">
        <v>29</v>
      </c>
      <c r="I12" s="1" t="n">
        <f aca="false">COUNTIF(D$2:D$60,"Dolby 3D") + COUNTIF(D$2:D$60,"IMAX 3D")</f>
        <v>4</v>
      </c>
    </row>
    <row r="13" customFormat="false" ht="12.8" hidden="false" customHeight="false" outlineLevel="0" collapsed="false">
      <c r="A13" s="1" t="s">
        <v>30</v>
      </c>
      <c r="B13" s="3" t="n">
        <v>45843</v>
      </c>
      <c r="C13" s="1" t="n">
        <v>7</v>
      </c>
      <c r="D13" s="1" t="s">
        <v>13</v>
      </c>
      <c r="F13" s="1" t="s">
        <v>12</v>
      </c>
      <c r="H13" s="1" t="s">
        <v>6</v>
      </c>
      <c r="I13" s="1" t="n">
        <f aca="false">COUNTIF(D$2:D$61,"70mm")</f>
        <v>3</v>
      </c>
    </row>
    <row r="14" customFormat="false" ht="12.8" hidden="false" customHeight="false" outlineLevel="0" collapsed="false">
      <c r="A14" s="1" t="s">
        <v>31</v>
      </c>
      <c r="B14" s="3" t="n">
        <v>45849</v>
      </c>
      <c r="C14" s="1" t="n">
        <v>8</v>
      </c>
      <c r="D14" s="1" t="s">
        <v>10</v>
      </c>
      <c r="F14" s="1" t="s">
        <v>32</v>
      </c>
    </row>
    <row r="15" customFormat="false" ht="12.8" hidden="false" customHeight="false" outlineLevel="0" collapsed="false">
      <c r="A15" s="1" t="s">
        <v>33</v>
      </c>
      <c r="B15" s="3" t="n">
        <v>45856</v>
      </c>
      <c r="C15" s="1" t="n">
        <v>6</v>
      </c>
      <c r="D15" s="1" t="s">
        <v>13</v>
      </c>
      <c r="F15" s="1" t="s">
        <v>34</v>
      </c>
      <c r="H15" s="1" t="s">
        <v>35</v>
      </c>
    </row>
    <row r="16" customFormat="false" ht="12.8" hidden="false" customHeight="false" outlineLevel="0" collapsed="false">
      <c r="A16" s="1" t="s">
        <v>36</v>
      </c>
      <c r="B16" s="3" t="n">
        <v>45863</v>
      </c>
      <c r="C16" s="1" t="n">
        <v>7</v>
      </c>
      <c r="D16" s="1" t="s">
        <v>10</v>
      </c>
      <c r="F16" s="1" t="s">
        <v>37</v>
      </c>
    </row>
    <row r="17" customFormat="false" ht="12.8" hidden="false" customHeight="false" outlineLevel="0" collapsed="false">
      <c r="A17" s="1" t="s">
        <v>38</v>
      </c>
      <c r="B17" s="3" t="n">
        <v>45870</v>
      </c>
      <c r="C17" s="1" t="n">
        <v>8</v>
      </c>
      <c r="D17" s="1" t="s">
        <v>13</v>
      </c>
      <c r="F17" s="1" t="s">
        <v>39</v>
      </c>
    </row>
    <row r="18" customFormat="false" ht="12.8" hidden="false" customHeight="false" outlineLevel="0" collapsed="false">
      <c r="A18" s="1" t="s">
        <v>40</v>
      </c>
      <c r="B18" s="3" t="n">
        <v>45876</v>
      </c>
      <c r="C18" s="1" t="n">
        <v>7</v>
      </c>
      <c r="D18" s="1" t="s">
        <v>13</v>
      </c>
      <c r="F18" s="1" t="s">
        <v>25</v>
      </c>
    </row>
    <row r="19" customFormat="false" ht="12.8" hidden="false" customHeight="false" outlineLevel="0" collapsed="false">
      <c r="A19" s="1" t="s">
        <v>28</v>
      </c>
      <c r="B19" s="3" t="n">
        <v>45876</v>
      </c>
      <c r="C19" s="1" t="n">
        <v>9</v>
      </c>
      <c r="D19" s="1" t="s">
        <v>10</v>
      </c>
      <c r="F19" s="1" t="s">
        <v>41</v>
      </c>
    </row>
    <row r="20" customFormat="false" ht="12.8" hidden="false" customHeight="false" outlineLevel="0" collapsed="false">
      <c r="A20" s="1" t="s">
        <v>42</v>
      </c>
      <c r="B20" s="3" t="n">
        <v>45885</v>
      </c>
      <c r="C20" s="1" t="n">
        <v>6</v>
      </c>
      <c r="D20" s="1" t="s">
        <v>13</v>
      </c>
    </row>
    <row r="21" customFormat="false" ht="12.8" hidden="false" customHeight="false" outlineLevel="0" collapsed="false">
      <c r="A21" s="1" t="s">
        <v>43</v>
      </c>
      <c r="B21" s="3" t="n">
        <v>45885</v>
      </c>
      <c r="C21" s="1" t="n">
        <v>5</v>
      </c>
      <c r="D21" s="1" t="s">
        <v>18</v>
      </c>
      <c r="F21" s="1" t="s">
        <v>31</v>
      </c>
    </row>
    <row r="22" customFormat="false" ht="12.8" hidden="false" customHeight="false" outlineLevel="0" collapsed="false">
      <c r="A22" s="1" t="s">
        <v>44</v>
      </c>
      <c r="B22" s="3" t="n">
        <v>45890</v>
      </c>
      <c r="C22" s="1" t="n">
        <v>8</v>
      </c>
      <c r="D22" s="1" t="s">
        <v>10</v>
      </c>
      <c r="F22" s="1" t="s">
        <v>45</v>
      </c>
    </row>
    <row r="23" customFormat="false" ht="12.8" hidden="false" customHeight="false" outlineLevel="0" collapsed="false">
      <c r="A23" s="1" t="s">
        <v>46</v>
      </c>
      <c r="B23" s="3" t="n">
        <v>45892</v>
      </c>
      <c r="C23" s="1" t="n">
        <v>7</v>
      </c>
      <c r="D23" s="1" t="s">
        <v>13</v>
      </c>
      <c r="F23" s="1" t="s">
        <v>47</v>
      </c>
    </row>
    <row r="24" customFormat="false" ht="12.8" hidden="false" customHeight="false" outlineLevel="0" collapsed="false">
      <c r="A24" s="1" t="s">
        <v>37</v>
      </c>
      <c r="B24" s="3" t="n">
        <v>45892</v>
      </c>
      <c r="C24" s="1" t="n">
        <v>9</v>
      </c>
      <c r="D24" s="1" t="s">
        <v>48</v>
      </c>
      <c r="F24" s="1" t="s">
        <v>49</v>
      </c>
    </row>
    <row r="25" customFormat="false" ht="12.8" hidden="false" customHeight="false" outlineLevel="0" collapsed="false">
      <c r="A25" s="1" t="s">
        <v>50</v>
      </c>
      <c r="B25" s="3" t="n">
        <v>45898</v>
      </c>
      <c r="C25" s="1" t="n">
        <v>6</v>
      </c>
      <c r="D25" s="1" t="s">
        <v>18</v>
      </c>
      <c r="F25" s="1" t="s">
        <v>38</v>
      </c>
    </row>
    <row r="26" customFormat="false" ht="12.8" hidden="false" customHeight="false" outlineLevel="0" collapsed="false">
      <c r="A26" s="1" t="s">
        <v>51</v>
      </c>
      <c r="B26" s="3" t="n">
        <v>45898</v>
      </c>
      <c r="C26" s="1" t="n">
        <v>8</v>
      </c>
      <c r="D26" s="1" t="s">
        <v>10</v>
      </c>
      <c r="F26" s="1" t="s">
        <v>52</v>
      </c>
    </row>
    <row r="27" customFormat="false" ht="12.8" hidden="false" customHeight="false" outlineLevel="0" collapsed="false">
      <c r="A27" s="1" t="s">
        <v>53</v>
      </c>
      <c r="B27" s="3" t="n">
        <v>45901</v>
      </c>
      <c r="C27" s="1" t="n">
        <v>6</v>
      </c>
      <c r="D27" s="1" t="s">
        <v>13</v>
      </c>
      <c r="F27" s="1" t="s">
        <v>54</v>
      </c>
    </row>
    <row r="28" customFormat="false" ht="12.8" hidden="false" customHeight="false" outlineLevel="0" collapsed="false">
      <c r="A28" s="1" t="s">
        <v>34</v>
      </c>
      <c r="B28" s="3" t="n">
        <v>45912</v>
      </c>
      <c r="C28" s="1" t="n">
        <v>9</v>
      </c>
      <c r="D28" s="1" t="s">
        <v>10</v>
      </c>
      <c r="F28" s="1" t="s">
        <v>51</v>
      </c>
    </row>
    <row r="29" customFormat="false" ht="12.8" hidden="false" customHeight="false" outlineLevel="0" collapsed="false">
      <c r="A29" s="1" t="s">
        <v>49</v>
      </c>
      <c r="B29" s="3" t="n">
        <v>45912</v>
      </c>
      <c r="C29" s="1" t="n">
        <v>8</v>
      </c>
      <c r="D29" s="1" t="s">
        <v>10</v>
      </c>
      <c r="F29" s="1" t="s">
        <v>55</v>
      </c>
    </row>
    <row r="30" customFormat="false" ht="12.8" hidden="false" customHeight="false" outlineLevel="0" collapsed="false">
      <c r="A30" s="1" t="s">
        <v>56</v>
      </c>
      <c r="B30" s="3" t="n">
        <v>45919</v>
      </c>
      <c r="C30" s="1" t="n">
        <v>7</v>
      </c>
      <c r="D30" s="1" t="s">
        <v>10</v>
      </c>
      <c r="F30" s="1" t="s">
        <v>44</v>
      </c>
    </row>
    <row r="31" customFormat="false" ht="12.8" hidden="false" customHeight="false" outlineLevel="0" collapsed="false">
      <c r="A31" s="1" t="s">
        <v>57</v>
      </c>
      <c r="B31" s="3" t="n">
        <v>45926</v>
      </c>
      <c r="C31" s="1" t="n">
        <v>8</v>
      </c>
      <c r="D31" s="1" t="s">
        <v>13</v>
      </c>
      <c r="F31" s="1" t="s">
        <v>58</v>
      </c>
    </row>
    <row r="32" customFormat="false" ht="12.8" hidden="false" customHeight="false" outlineLevel="0" collapsed="false">
      <c r="A32" s="1" t="s">
        <v>8</v>
      </c>
      <c r="B32" s="3" t="n">
        <v>45926</v>
      </c>
      <c r="D32" s="1" t="s">
        <v>7</v>
      </c>
      <c r="F32" s="1" t="s">
        <v>57</v>
      </c>
    </row>
    <row r="33" customFormat="false" ht="12.8" hidden="false" customHeight="false" outlineLevel="0" collapsed="false">
      <c r="A33" s="1" t="s">
        <v>59</v>
      </c>
      <c r="B33" s="3" t="n">
        <v>45933</v>
      </c>
      <c r="C33" s="1" t="n">
        <v>8</v>
      </c>
      <c r="D33" s="1" t="s">
        <v>13</v>
      </c>
      <c r="F33" s="1" t="s">
        <v>17</v>
      </c>
    </row>
    <row r="34" customFormat="false" ht="12.8" hidden="false" customHeight="false" outlineLevel="0" collapsed="false">
      <c r="A34" s="1" t="s">
        <v>47</v>
      </c>
      <c r="B34" s="3" t="n">
        <v>45933</v>
      </c>
      <c r="C34" s="1" t="n">
        <v>8</v>
      </c>
      <c r="D34" s="1" t="s">
        <v>60</v>
      </c>
      <c r="F34" s="1" t="s">
        <v>61</v>
      </c>
    </row>
    <row r="35" customFormat="false" ht="12.8" hidden="false" customHeight="false" outlineLevel="0" collapsed="false">
      <c r="A35" s="1" t="s">
        <v>62</v>
      </c>
      <c r="B35" s="3" t="n">
        <v>45934</v>
      </c>
      <c r="C35" s="1" t="n">
        <v>5</v>
      </c>
      <c r="D35" s="1" t="s">
        <v>13</v>
      </c>
      <c r="F35" s="1" t="s">
        <v>21</v>
      </c>
    </row>
    <row r="36" customFormat="false" ht="12.8" hidden="false" customHeight="false" outlineLevel="0" collapsed="false">
      <c r="A36" s="1" t="s">
        <v>52</v>
      </c>
      <c r="B36" s="3" t="n">
        <v>45940</v>
      </c>
      <c r="C36" s="1" t="n">
        <v>8</v>
      </c>
      <c r="D36" s="1" t="s">
        <v>13</v>
      </c>
      <c r="F36" s="1" t="s">
        <v>59</v>
      </c>
    </row>
    <row r="37" customFormat="false" ht="12.8" hidden="false" customHeight="false" outlineLevel="0" collapsed="false">
      <c r="A37" s="1" t="s">
        <v>63</v>
      </c>
      <c r="B37" s="3" t="n">
        <v>45941</v>
      </c>
      <c r="C37" s="1" t="n">
        <v>7</v>
      </c>
      <c r="D37" s="1" t="s">
        <v>13</v>
      </c>
    </row>
    <row r="38" customFormat="false" ht="12.8" hidden="false" customHeight="false" outlineLevel="0" collapsed="false">
      <c r="A38" s="1" t="s">
        <v>64</v>
      </c>
      <c r="B38" s="3" t="n">
        <v>45943</v>
      </c>
      <c r="C38" s="1" t="n">
        <v>7</v>
      </c>
      <c r="D38" s="1" t="s">
        <v>13</v>
      </c>
      <c r="F38" s="1" t="s">
        <v>27</v>
      </c>
    </row>
    <row r="39" customFormat="false" ht="12.8" hidden="false" customHeight="false" outlineLevel="0" collapsed="false">
      <c r="A39" s="1" t="s">
        <v>65</v>
      </c>
      <c r="B39" s="3" t="n">
        <v>45947</v>
      </c>
      <c r="C39" s="1" t="n">
        <v>6</v>
      </c>
      <c r="D39" s="1" t="s">
        <v>13</v>
      </c>
      <c r="F39" s="1" t="s">
        <v>66</v>
      </c>
    </row>
    <row r="40" customFormat="false" ht="12.8" hidden="false" customHeight="false" outlineLevel="0" collapsed="false">
      <c r="A40" s="1" t="s">
        <v>55</v>
      </c>
      <c r="B40" s="3" t="n">
        <v>45947</v>
      </c>
      <c r="C40" s="1" t="n">
        <v>8</v>
      </c>
      <c r="D40" s="1" t="s">
        <v>13</v>
      </c>
      <c r="F40" s="1" t="s">
        <v>67</v>
      </c>
    </row>
    <row r="41" customFormat="false" ht="12.8" hidden="false" customHeight="false" outlineLevel="0" collapsed="false">
      <c r="A41" s="1" t="s">
        <v>68</v>
      </c>
      <c r="B41" s="3" t="n">
        <v>45948</v>
      </c>
      <c r="C41" s="1" t="n">
        <v>5</v>
      </c>
      <c r="D41" s="1" t="s">
        <v>13</v>
      </c>
      <c r="F41" s="1" t="s">
        <v>69</v>
      </c>
    </row>
    <row r="42" customFormat="false" ht="12.8" hidden="false" customHeight="false" outlineLevel="0" collapsed="false">
      <c r="A42" s="1" t="s">
        <v>32</v>
      </c>
      <c r="B42" s="3" t="n">
        <v>45955</v>
      </c>
      <c r="C42" s="1" t="n">
        <v>9</v>
      </c>
      <c r="D42" s="1" t="s">
        <v>10</v>
      </c>
      <c r="F42" s="1" t="s">
        <v>15</v>
      </c>
    </row>
    <row r="43" customFormat="false" ht="12.8" hidden="false" customHeight="false" outlineLevel="0" collapsed="false">
      <c r="A43" s="1" t="s">
        <v>67</v>
      </c>
      <c r="B43" s="3" t="n">
        <v>45961</v>
      </c>
      <c r="C43" s="1" t="n">
        <v>7</v>
      </c>
      <c r="D43" s="1" t="s">
        <v>13</v>
      </c>
      <c r="F43" s="1" t="s">
        <v>70</v>
      </c>
    </row>
    <row r="44" customFormat="false" ht="12.8" hidden="false" customHeight="false" outlineLevel="0" collapsed="false">
      <c r="A44" s="1" t="s">
        <v>19</v>
      </c>
      <c r="B44" s="3" t="n">
        <v>45961</v>
      </c>
      <c r="C44" s="1" t="n">
        <v>10</v>
      </c>
      <c r="D44" s="1" t="s">
        <v>10</v>
      </c>
      <c r="F44" s="1" t="s">
        <v>36</v>
      </c>
    </row>
    <row r="45" customFormat="false" ht="12.8" hidden="false" customHeight="false" outlineLevel="0" collapsed="false">
      <c r="A45" s="1" t="s">
        <v>39</v>
      </c>
      <c r="B45" s="3" t="n">
        <v>45968</v>
      </c>
      <c r="C45" s="1" t="n">
        <v>9</v>
      </c>
      <c r="D45" s="1" t="s">
        <v>10</v>
      </c>
      <c r="F45" s="1" t="s">
        <v>9</v>
      </c>
    </row>
    <row r="46" customFormat="false" ht="12.8" hidden="false" customHeight="false" outlineLevel="0" collapsed="false">
      <c r="A46" s="1" t="s">
        <v>22</v>
      </c>
      <c r="B46" s="3" t="n">
        <v>45968</v>
      </c>
      <c r="C46" s="1" t="n">
        <v>9</v>
      </c>
      <c r="D46" s="1" t="s">
        <v>13</v>
      </c>
      <c r="F46" s="1" t="s">
        <v>23</v>
      </c>
    </row>
    <row r="47" customFormat="false" ht="12.8" hidden="false" customHeight="false" outlineLevel="0" collapsed="false">
      <c r="A47" s="1" t="s">
        <v>66</v>
      </c>
      <c r="B47" s="3" t="n">
        <v>45969</v>
      </c>
      <c r="C47" s="1" t="n">
        <v>7</v>
      </c>
      <c r="D47" s="1" t="s">
        <v>13</v>
      </c>
      <c r="F47" s="1" t="s">
        <v>63</v>
      </c>
    </row>
    <row r="48" customFormat="false" ht="12.8" hidden="false" customHeight="false" outlineLevel="0" collapsed="false">
      <c r="A48" s="1" t="s">
        <v>69</v>
      </c>
      <c r="B48" s="3" t="n">
        <v>45976</v>
      </c>
      <c r="C48" s="1" t="n">
        <v>7</v>
      </c>
      <c r="D48" s="1" t="s">
        <v>10</v>
      </c>
      <c r="F48" s="1" t="s">
        <v>56</v>
      </c>
    </row>
    <row r="49" customFormat="false" ht="12.8" hidden="false" customHeight="false" outlineLevel="0" collapsed="false">
      <c r="A49" s="1" t="s">
        <v>14</v>
      </c>
      <c r="B49" s="3" t="n">
        <v>45977</v>
      </c>
      <c r="C49" s="1" t="n">
        <v>10</v>
      </c>
      <c r="D49" s="1" t="s">
        <v>18</v>
      </c>
      <c r="F49" s="1" t="s">
        <v>20</v>
      </c>
    </row>
    <row r="50" customFormat="false" ht="12.8" hidden="false" customHeight="false" outlineLevel="0" collapsed="false">
      <c r="A50" s="1" t="s">
        <v>71</v>
      </c>
      <c r="B50" s="3" t="n">
        <v>45982</v>
      </c>
      <c r="C50" s="1" t="n">
        <v>6</v>
      </c>
      <c r="D50" s="1" t="s">
        <v>13</v>
      </c>
      <c r="F50" s="1" t="s">
        <v>40</v>
      </c>
    </row>
    <row r="51" customFormat="false" ht="12.8" hidden="false" customHeight="false" outlineLevel="0" collapsed="false">
      <c r="A51" s="1" t="s">
        <v>70</v>
      </c>
      <c r="B51" s="3" t="n">
        <v>45982</v>
      </c>
      <c r="C51" s="1" t="n">
        <v>7</v>
      </c>
      <c r="D51" s="1" t="s">
        <v>10</v>
      </c>
      <c r="F51" s="1" t="s">
        <v>64</v>
      </c>
    </row>
    <row r="52" customFormat="false" ht="12.8" hidden="false" customHeight="false" outlineLevel="0" collapsed="false">
      <c r="A52" s="1" t="s">
        <v>58</v>
      </c>
      <c r="B52" s="3" t="n">
        <v>45983</v>
      </c>
      <c r="C52" s="1" t="n">
        <v>8</v>
      </c>
      <c r="D52" s="1" t="s">
        <v>13</v>
      </c>
      <c r="F52" s="1" t="s">
        <v>46</v>
      </c>
    </row>
    <row r="53" customFormat="false" ht="12.8" hidden="false" customHeight="false" outlineLevel="0" collapsed="false">
      <c r="A53" s="1" t="s">
        <v>41</v>
      </c>
      <c r="B53" s="3" t="n">
        <v>45988</v>
      </c>
      <c r="C53" s="1" t="n">
        <v>9</v>
      </c>
      <c r="D53" s="1" t="s">
        <v>18</v>
      </c>
      <c r="F53" s="1" t="s">
        <v>30</v>
      </c>
    </row>
    <row r="54" customFormat="false" ht="12.8" hidden="false" customHeight="false" outlineLevel="0" collapsed="false">
      <c r="A54" s="1" t="s">
        <v>61</v>
      </c>
      <c r="B54" s="3" t="n">
        <v>45989</v>
      </c>
      <c r="C54" s="1" t="n">
        <v>8</v>
      </c>
      <c r="D54" s="1" t="s">
        <v>13</v>
      </c>
    </row>
    <row r="55" customFormat="false" ht="12.8" hidden="false" customHeight="false" outlineLevel="0" collapsed="false">
      <c r="A55" s="1" t="s">
        <v>26</v>
      </c>
      <c r="B55" s="3" t="n">
        <v>45996</v>
      </c>
      <c r="C55" s="1" t="n">
        <v>9</v>
      </c>
      <c r="D55" s="1" t="s">
        <v>6</v>
      </c>
      <c r="F55" s="1" t="s">
        <v>65</v>
      </c>
    </row>
    <row r="56" customFormat="false" ht="12.8" hidden="false" customHeight="false" outlineLevel="0" collapsed="false">
      <c r="A56" s="1" t="s">
        <v>8</v>
      </c>
      <c r="B56" s="3" t="n">
        <v>46004</v>
      </c>
      <c r="C56" s="1" t="n">
        <v>10</v>
      </c>
      <c r="D56" s="1" t="s">
        <v>7</v>
      </c>
      <c r="F56" s="1" t="s">
        <v>33</v>
      </c>
    </row>
    <row r="57" customFormat="false" ht="12.8" hidden="false" customHeight="false" outlineLevel="0" collapsed="false">
      <c r="A57" s="1" t="s">
        <v>45</v>
      </c>
      <c r="B57" s="3" t="n">
        <v>46009</v>
      </c>
      <c r="D57" s="1" t="s">
        <v>60</v>
      </c>
      <c r="F57" s="1" t="s">
        <v>50</v>
      </c>
    </row>
    <row r="58" customFormat="false" ht="12.8" hidden="false" customHeight="false" outlineLevel="0" collapsed="false">
      <c r="A58" s="1" t="s">
        <v>11</v>
      </c>
      <c r="B58" s="3" t="n">
        <v>46010</v>
      </c>
      <c r="C58" s="1" t="n">
        <v>10</v>
      </c>
      <c r="D58" s="1" t="s">
        <v>6</v>
      </c>
      <c r="F58" s="1" t="s">
        <v>42</v>
      </c>
    </row>
    <row r="59" customFormat="false" ht="12.8" hidden="false" customHeight="false" outlineLevel="0" collapsed="false">
      <c r="A59" s="1" t="s">
        <v>45</v>
      </c>
      <c r="B59" s="3" t="n">
        <v>46010</v>
      </c>
      <c r="C59" s="1" t="n">
        <v>8</v>
      </c>
      <c r="D59" s="1" t="s">
        <v>48</v>
      </c>
      <c r="F59" s="1" t="s">
        <v>71</v>
      </c>
    </row>
    <row r="60" customFormat="false" ht="12.8" hidden="false" customHeight="false" outlineLevel="0" collapsed="false">
      <c r="A60" s="1" t="s">
        <v>24</v>
      </c>
      <c r="B60" s="3" t="n">
        <v>46011</v>
      </c>
      <c r="C60" s="1" t="n">
        <v>9</v>
      </c>
      <c r="D60" s="1" t="s">
        <v>13</v>
      </c>
      <c r="F60" s="1" t="s">
        <v>53</v>
      </c>
    </row>
    <row r="61" customFormat="false" ht="12.8" hidden="false" customHeight="false" outlineLevel="0" collapsed="false">
      <c r="A61" s="1" t="s">
        <v>16</v>
      </c>
      <c r="B61" s="3" t="n">
        <v>46015</v>
      </c>
      <c r="C61" s="1" t="n">
        <v>10</v>
      </c>
      <c r="D61" s="1" t="s">
        <v>13</v>
      </c>
    </row>
    <row r="62" customFormat="false" ht="12.8" hidden="false" customHeight="false" outlineLevel="0" collapsed="false">
      <c r="A62" s="1" t="s">
        <v>54</v>
      </c>
      <c r="B62" s="3" t="n">
        <v>46018</v>
      </c>
      <c r="C62" s="1" t="n">
        <v>8</v>
      </c>
      <c r="D62" s="1" t="s">
        <v>6</v>
      </c>
      <c r="F62" s="1" t="s">
        <v>68</v>
      </c>
    </row>
    <row r="63" customFormat="false" ht="12.8" hidden="false" customHeight="false" outlineLevel="0" collapsed="false">
      <c r="F63" s="1" t="s">
        <v>62</v>
      </c>
    </row>
    <row r="64" customFormat="false" ht="12.8" hidden="false" customHeight="false" outlineLevel="0" collapsed="false">
      <c r="F64" s="1" t="s">
        <v>43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2025-08-16T19:12:48Z</dcterms:created>
  <dc:creator/>
  <dc:description/>
  <dc:language>en-US</dc:language>
  <cp:lastModifiedBy/>
  <cp:lastPrinted>2026-01-04T11:34:28Z</cp:lastPrinted>
  <dcterms:modified xsi:type="dcterms:W3CDTF">2026-01-04T11:37:50Z</dcterms:modified>
  <cp:revision>121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